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macmini02/exhibition-estimator/refs/"/>
    </mc:Choice>
  </mc:AlternateContent>
  <xr:revisionPtr revIDLastSave="0" documentId="13_ncr:1_{BD38A910-573C-8A4F-9C25-20C88B528577}" xr6:coauthVersionLast="47" xr6:coauthVersionMax="47" xr10:uidLastSave="{00000000-0000-0000-0000-000000000000}"/>
  <bookViews>
    <workbookView xWindow="-38400" yWindow="620" windowWidth="38400" windowHeight="23380" xr2:uid="{00000000-000D-0000-FFFF-FFFF00000000}"/>
  </bookViews>
  <sheets>
    <sheet name="表紙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5" l="1"/>
  <c r="K15" i="5" l="1"/>
  <c r="J16" i="5"/>
  <c r="K17" i="5"/>
  <c r="J21" i="5"/>
  <c r="J29" i="5" l="1"/>
  <c r="J35" i="5" s="1"/>
</calcChain>
</file>

<file path=xl/sharedStrings.xml><?xml version="1.0" encoding="utf-8"?>
<sst xmlns="http://schemas.openxmlformats.org/spreadsheetml/2006/main" count="46" uniqueCount="36">
  <si>
    <t>工事内訳明細表</t>
    <rPh sb="0" eb="4">
      <t>コウジウチワケゴウケイヒョウ</t>
    </rPh>
    <rPh sb="4" eb="6">
      <t>メイサイ</t>
    </rPh>
    <rPh sb="6" eb="7">
      <t>ヒョウ</t>
    </rPh>
    <phoneticPr fontId="2"/>
  </si>
  <si>
    <t>№</t>
    <rPh sb="0" eb="1">
      <t>ナンバー</t>
    </rPh>
    <phoneticPr fontId="2"/>
  </si>
  <si>
    <t>内容</t>
    <rPh sb="0" eb="2">
      <t>ナイヨウ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</si>
  <si>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</si>
  <si>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</si>
  <si>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</si>
  <si>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</si>
  <si>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種別</t>
    <rPh sb="0" eb="2">
      <t>シュベツ</t>
    </rPh>
    <phoneticPr fontId="2"/>
  </si>
  <si>
    <t>合　　　　計</t>
    <rPh sb="0" eb="6">
      <t>ゴウケイ</t>
    </rPh>
    <phoneticPr fontId="2"/>
  </si>
  <si>
    <t>木工造作</t>
    <rPh sb="0" eb="4">
      <t>モッコウ</t>
    </rPh>
    <phoneticPr fontId="7"/>
  </si>
  <si>
    <t>装飾・サイン</t>
    <rPh sb="0" eb="2">
      <t>ソウショク</t>
    </rPh>
    <phoneticPr fontId="7"/>
  </si>
  <si>
    <t>床工事</t>
    <rPh sb="0" eb="3">
      <t>ユカコウジ</t>
    </rPh>
    <phoneticPr fontId="7"/>
  </si>
  <si>
    <t>電気工事</t>
    <rPh sb="0" eb="4">
      <t>デンキ</t>
    </rPh>
    <phoneticPr fontId="7"/>
  </si>
  <si>
    <t>式</t>
    <rPh sb="0" eb="1">
      <t>シキ</t>
    </rPh>
    <phoneticPr fontId="7"/>
  </si>
  <si>
    <t>リース</t>
    <phoneticPr fontId="7"/>
  </si>
  <si>
    <t>受付台+ハイチェア</t>
    <rPh sb="0" eb="3">
      <t>ウケツケ</t>
    </rPh>
    <phoneticPr fontId="7"/>
  </si>
  <si>
    <t>セット</t>
    <phoneticPr fontId="7"/>
  </si>
  <si>
    <t>商談セット（テーブル2台+椅子6脚/セット）</t>
    <rPh sb="0" eb="2">
      <t>ショウダn</t>
    </rPh>
    <rPh sb="11" eb="12">
      <t xml:space="preserve">ダイ </t>
    </rPh>
    <rPh sb="13" eb="15">
      <t>イス</t>
    </rPh>
    <rPh sb="16" eb="17">
      <t>キャク</t>
    </rPh>
    <phoneticPr fontId="7"/>
  </si>
  <si>
    <t>台</t>
    <rPh sb="0" eb="1">
      <t>ダイ</t>
    </rPh>
    <phoneticPr fontId="7"/>
  </si>
  <si>
    <t>アコーディオンカーテン（鍵付き）</t>
    <rPh sb="12" eb="14">
      <t>カギ</t>
    </rPh>
    <phoneticPr fontId="7"/>
  </si>
  <si>
    <t>A1判LEDバックライトパネル（搬入出運搬費含む）</t>
    <rPh sb="2" eb="3">
      <t xml:space="preserve">ハン </t>
    </rPh>
    <rPh sb="16" eb="19">
      <t>ハンニュウ</t>
    </rPh>
    <rPh sb="19" eb="22">
      <t>ウンパn</t>
    </rPh>
    <rPh sb="22" eb="23">
      <t>フク</t>
    </rPh>
    <phoneticPr fontId="7"/>
  </si>
  <si>
    <t>現場費</t>
    <rPh sb="0" eb="3">
      <t>ゲンバ</t>
    </rPh>
    <phoneticPr fontId="7"/>
  </si>
  <si>
    <t>人工（設営2日、撤去1日）</t>
    <rPh sb="0" eb="2">
      <t>ニn</t>
    </rPh>
    <rPh sb="3" eb="5">
      <t xml:space="preserve">セツエイ </t>
    </rPh>
    <rPh sb="6" eb="7">
      <t>ニティ</t>
    </rPh>
    <rPh sb="8" eb="10">
      <t>テッキョ</t>
    </rPh>
    <rPh sb="11" eb="12">
      <t>ニティ</t>
    </rPh>
    <phoneticPr fontId="7"/>
  </si>
  <si>
    <t>人工</t>
    <rPh sb="0" eb="2">
      <t>ニn</t>
    </rPh>
    <phoneticPr fontId="7"/>
  </si>
  <si>
    <t>設営・撤去運搬費（2t2台1Box3台）</t>
    <rPh sb="0" eb="2">
      <t>セツエイ</t>
    </rPh>
    <rPh sb="5" eb="7">
      <t>ウンパn</t>
    </rPh>
    <rPh sb="7" eb="8">
      <t>h</t>
    </rPh>
    <rPh sb="12" eb="13">
      <t xml:space="preserve">ダイ </t>
    </rPh>
    <rPh sb="18" eb="19">
      <t xml:space="preserve">ダイ </t>
    </rPh>
    <phoneticPr fontId="7"/>
  </si>
  <si>
    <t>補足材</t>
    <rPh sb="0" eb="3">
      <t>ホソク</t>
    </rPh>
    <phoneticPr fontId="7"/>
  </si>
  <si>
    <t>残材処理費</t>
    <rPh sb="0" eb="5">
      <t>ザンザイ</t>
    </rPh>
    <phoneticPr fontId="7"/>
  </si>
  <si>
    <t>デザイン・施工図面作成費</t>
    <rPh sb="5" eb="11">
      <t>セコウ</t>
    </rPh>
    <rPh sb="11" eb="12">
      <t xml:space="preserve">ヒ </t>
    </rPh>
    <phoneticPr fontId="7"/>
  </si>
  <si>
    <t>会社経費（10％）</t>
    <rPh sb="0" eb="4">
      <t>カイシャ</t>
    </rPh>
    <phoneticPr fontId="7"/>
  </si>
  <si>
    <t>（パンチカーペット2色振り分け+塩ビへの字）</t>
    <rPh sb="10" eb="11">
      <t>イロ</t>
    </rPh>
    <rPh sb="11" eb="12">
      <t>フリ</t>
    </rPh>
    <rPh sb="16" eb="17">
      <t>エンビ</t>
    </rPh>
    <phoneticPr fontId="7"/>
  </si>
  <si>
    <t>式</t>
    <rPh sb="0" eb="1">
      <t>シキ</t>
    </rPh>
    <phoneticPr fontId="7"/>
  </si>
  <si>
    <t>高所作業車×1台　ハンドリフター×2   運搬費</t>
    <rPh sb="0" eb="2">
      <t>コウショ</t>
    </rPh>
    <rPh sb="2" eb="5">
      <t>サギョウシャ</t>
    </rPh>
    <rPh sb="7" eb="8">
      <t>ダイ</t>
    </rPh>
    <rPh sb="21" eb="24">
      <t>ウンパンヒ</t>
    </rPh>
    <phoneticPr fontId="7"/>
  </si>
  <si>
    <t>式</t>
    <rPh sb="0" eb="1">
      <t>シキ</t>
    </rPh>
    <phoneticPr fontId="7"/>
  </si>
  <si>
    <t>　</t>
    <phoneticPr fontId="7"/>
  </si>
  <si>
    <t>（LED50W照明30灯、ダウンライト18灯、FL15灯、コンセント22個、分電盤1台、配線工事）</t>
    <rPh sb="7" eb="9">
      <t>ショウメイ</t>
    </rPh>
    <rPh sb="11" eb="12">
      <t xml:space="preserve">トウ </t>
    </rPh>
    <rPh sb="21" eb="22">
      <t xml:space="preserve">トウ </t>
    </rPh>
    <rPh sb="27" eb="28">
      <t xml:space="preserve">トウ </t>
    </rPh>
    <rPh sb="36" eb="37">
      <t xml:space="preserve">コ </t>
    </rPh>
    <rPh sb="38" eb="41">
      <t>ブンデ</t>
    </rPh>
    <rPh sb="42" eb="43">
      <t xml:space="preserve">ダイ </t>
    </rPh>
    <rPh sb="44" eb="48">
      <t>ハイセn</t>
    </rPh>
    <phoneticPr fontId="7"/>
  </si>
  <si>
    <t>（スチール柱2本含む）</t>
    <rPh sb="5" eb="6">
      <t>ハシラ</t>
    </rPh>
    <rPh sb="7" eb="8">
      <t>ホン</t>
    </rPh>
    <rPh sb="8" eb="9">
      <t>フクム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</si>
</sst>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7" formatCode="#,##0\ \ \ "/>
  </numFmts>
  <fonts count="8">
    <font>
      <sz val="12"/>
      <name val="Osaka"/>
      <charset val="128"/>
    </font>
    <font>
      <sz val="12"/>
      <name val="Osaka"/>
      <family val="3"/>
      <charset val="128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2"/>
      <charset val="128"/>
    </font>
    <font>
      <sz val="6"/>
      <name val="Osaka"/>
      <family val="2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">
    <xf numFmtId="0" fontId="0" fillId="0" borderId="0"/>
    <xf numFmtId="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3" fillId="0" borderId="2" xfId="0" applyFont="1" applyBorder="1"/>
    <xf numFmtId="0" fontId="5" fillId="0" borderId="2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3" fontId="4" fillId="0" borderId="13" xfId="0" applyNumberFormat="1" applyFont="1" applyBorder="1" applyAlignment="1">
      <alignment horizontal="right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 shrinkToFit="1"/>
    </xf>
    <xf numFmtId="9" fontId="5" fillId="0" borderId="4" xfId="2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38" fontId="5" fillId="0" borderId="4" xfId="3" applyFont="1" applyBorder="1" applyAlignment="1">
      <alignment vertical="center"/>
    </xf>
    <xf numFmtId="38" fontId="5" fillId="0" borderId="5" xfId="3" applyFont="1" applyBorder="1" applyAlignment="1">
      <alignment vertical="center"/>
    </xf>
    <xf numFmtId="38" fontId="0" fillId="0" borderId="0" xfId="0" applyNumberFormat="1"/>
    <xf numFmtId="38" fontId="5" fillId="0" borderId="4" xfId="3" applyFont="1" applyBorder="1" applyAlignment="1">
      <alignment vertical="center"/>
    </xf>
    <xf numFmtId="38" fontId="5" fillId="0" borderId="5" xfId="3" applyFont="1" applyBorder="1" applyAlignment="1">
      <alignment vertical="center"/>
    </xf>
    <xf numFmtId="38" fontId="5" fillId="0" borderId="9" xfId="3" applyFont="1" applyBorder="1" applyAlignment="1">
      <alignment vertical="center"/>
    </xf>
    <xf numFmtId="6" fontId="4" fillId="0" borderId="1" xfId="1" applyFont="1" applyBorder="1" applyAlignment="1">
      <alignment horizontal="right"/>
    </xf>
    <xf numFmtId="38" fontId="5" fillId="0" borderId="4" xfId="3" applyFont="1" applyBorder="1" applyAlignment="1">
      <alignment horizontal="center" vertical="center"/>
    </xf>
    <xf numFmtId="38" fontId="5" fillId="0" borderId="5" xfId="3" applyFont="1" applyBorder="1" applyAlignment="1">
      <alignment horizontal="center" vertical="center"/>
    </xf>
    <xf numFmtId="38" fontId="5" fillId="0" borderId="4" xfId="3" applyFont="1" applyBorder="1" applyAlignment="1">
      <alignment horizontal="right" vertical="center"/>
    </xf>
    <xf numFmtId="38" fontId="5" fillId="0" borderId="5" xfId="3" applyFont="1" applyBorder="1" applyAlignment="1">
      <alignment horizontal="right" vertical="center"/>
    </xf>
  </cellXfs>
  <cellStyles count="4">
    <cellStyle name="パーセント" xfId="2" builtinId="5"/>
    <cellStyle name="桁区切り" xfId="3" builtinId="6"/>
    <cellStyle name="通貨" xfId="1" builtinId="7"/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3"/>
  <sheetViews>
    <sheetView tabSelected="1" zoomScale="121" zoomScaleNormal="121" zoomScalePageLayoutView="121" workbookViewId="0">
      <selection activeCell="N8" sqref="N8"/>
    </sheetView>
  </sheetViews>
  <sheetFormatPr baseColWidth="10" defaultColWidth="10.625" defaultRowHeight="18"/>
  <cols>
    <col min="1" max="1" width="3.25" customWidth="1"/>
    <col min="2" max="2" width="6.25" customWidth="1"/>
    <col min="3" max="3" width="6" customWidth="1"/>
    <col min="4" max="4" width="6.5" customWidth="1"/>
    <col min="5" max="5" width="8" customWidth="1"/>
    <col min="7" max="7" width="7.75" customWidth="1"/>
    <col min="8" max="8" width="4.375" customWidth="1"/>
    <col min="9" max="9" width="7.25" customWidth="1"/>
    <col min="10" max="10" width="5.75" customWidth="1"/>
  </cols>
  <sheetData>
    <row r="1" spans="1:11" ht="19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1</v>
      </c>
      <c r="B2" s="4" t="s">
        <v>7</v>
      </c>
      <c r="C2" s="4"/>
      <c r="D2" s="4" t="s">
        <v>2</v>
      </c>
      <c r="E2" s="4"/>
      <c r="F2" s="4"/>
      <c r="G2" s="4" t="s">
        <v>3</v>
      </c>
      <c r="H2" s="4" t="s">
        <v>4</v>
      </c>
      <c r="I2" s="4" t="s">
        <v>5</v>
      </c>
      <c r="J2" s="4" t="s">
        <v>6</v>
      </c>
      <c r="K2" s="4"/>
    </row>
    <row r="3" spans="1:11">
      <c r="A3" s="29">
        <v>1</v>
      </c>
      <c r="B3" s="17" t="s">
        <v>9</v>
      </c>
      <c r="C3" s="10"/>
      <c r="D3" s="11"/>
      <c r="E3" s="12"/>
      <c r="F3" s="12"/>
      <c r="G3" s="13">
        <v>1</v>
      </c>
      <c r="H3" s="14" t="s">
        <v>13</v>
      </c>
      <c r="I3" s="15"/>
      <c r="J3" s="37">
        <v>2830000</v>
      </c>
      <c r="K3" s="38"/>
    </row>
    <row r="4" spans="1:11">
      <c r="A4" s="29"/>
      <c r="B4" s="17" t="s">
        <v>35</v>
      </c>
      <c r="C4" s="10"/>
      <c r="D4" s="11"/>
      <c r="E4" s="12"/>
      <c r="F4" s="12"/>
      <c r="G4" s="14"/>
      <c r="H4" s="14"/>
      <c r="I4" s="15"/>
      <c r="J4" s="34"/>
      <c r="K4" s="35"/>
    </row>
    <row r="5" spans="1:11">
      <c r="A5" s="29"/>
      <c r="B5" s="17"/>
      <c r="C5" s="10"/>
      <c r="D5" s="11"/>
      <c r="E5" s="12"/>
      <c r="F5" s="12"/>
      <c r="G5" s="14"/>
      <c r="H5" s="14"/>
      <c r="I5" s="15"/>
      <c r="J5" s="34"/>
      <c r="K5" s="35"/>
    </row>
    <row r="6" spans="1:11">
      <c r="A6" s="29">
        <v>2</v>
      </c>
      <c r="B6" s="17" t="s">
        <v>10</v>
      </c>
      <c r="C6" s="10"/>
      <c r="D6" s="11"/>
      <c r="E6" s="12"/>
      <c r="F6" s="12"/>
      <c r="G6" s="14">
        <v>1</v>
      </c>
      <c r="H6" s="14" t="s">
        <v>13</v>
      </c>
      <c r="I6" s="15"/>
      <c r="J6" s="37">
        <v>965000</v>
      </c>
      <c r="K6" s="38"/>
    </row>
    <row r="7" spans="1:11">
      <c r="A7" s="29"/>
      <c r="B7" s="17"/>
      <c r="C7" s="10"/>
      <c r="D7" s="11"/>
      <c r="E7" s="16"/>
      <c r="F7" s="16"/>
      <c r="G7" s="14"/>
      <c r="H7" s="14" t="s">
        <v>30</v>
      </c>
      <c r="I7" s="15"/>
      <c r="J7" s="34"/>
      <c r="K7" s="35"/>
    </row>
    <row r="8" spans="1:11">
      <c r="A8" s="29">
        <v>3</v>
      </c>
      <c r="B8" s="17" t="s">
        <v>11</v>
      </c>
      <c r="C8" s="10"/>
      <c r="D8" s="11"/>
      <c r="E8" s="16"/>
      <c r="F8" s="16"/>
      <c r="G8" s="14">
        <v>1</v>
      </c>
      <c r="H8" s="14" t="s">
        <v>13</v>
      </c>
      <c r="I8" s="15"/>
      <c r="J8" s="34"/>
      <c r="K8" s="35">
        <v>204600</v>
      </c>
    </row>
    <row r="9" spans="1:11">
      <c r="A9" s="29"/>
      <c r="B9" s="17" t="s">
        <v>29</v>
      </c>
      <c r="C9" s="10"/>
      <c r="D9" s="11"/>
      <c r="E9" s="16"/>
      <c r="F9" s="16"/>
      <c r="G9" s="14"/>
      <c r="H9" s="14"/>
      <c r="I9" s="15"/>
      <c r="J9" s="37"/>
      <c r="K9" s="38"/>
    </row>
    <row r="10" spans="1:11">
      <c r="A10" s="29"/>
      <c r="B10" s="17"/>
      <c r="C10" s="10"/>
      <c r="D10" s="11"/>
      <c r="E10" s="16"/>
      <c r="F10" s="16"/>
      <c r="G10" s="14"/>
      <c r="H10" s="14"/>
      <c r="I10" s="15"/>
      <c r="J10" s="34"/>
      <c r="K10" s="35"/>
    </row>
    <row r="11" spans="1:11">
      <c r="A11" s="29">
        <v>4</v>
      </c>
      <c r="B11" s="17" t="s">
        <v>12</v>
      </c>
      <c r="C11" s="10"/>
      <c r="D11" s="11"/>
      <c r="E11" s="16"/>
      <c r="F11" s="16"/>
      <c r="G11" s="14">
        <v>1</v>
      </c>
      <c r="H11" s="14" t="s">
        <v>13</v>
      </c>
      <c r="I11" s="15"/>
      <c r="J11" s="34"/>
      <c r="K11" s="35">
        <f>6500*30+6500*18+4000*15+2500*22+25000+20000+40000*3</f>
        <v>592000</v>
      </c>
    </row>
    <row r="12" spans="1:11">
      <c r="A12" s="29"/>
      <c r="B12" s="17" t="s">
        <v>34</v>
      </c>
      <c r="C12" s="10"/>
      <c r="D12" s="11"/>
      <c r="E12" s="16"/>
      <c r="F12" s="16"/>
      <c r="G12" s="14"/>
      <c r="H12" s="14"/>
      <c r="I12" s="15"/>
      <c r="J12" s="34"/>
      <c r="K12" s="35"/>
    </row>
    <row r="13" spans="1:11">
      <c r="A13" s="29"/>
      <c r="B13" s="17"/>
      <c r="C13" s="10"/>
      <c r="D13" s="11"/>
      <c r="E13" s="16"/>
      <c r="F13" s="16"/>
      <c r="G13" s="14"/>
      <c r="H13" s="14"/>
      <c r="I13" s="15"/>
      <c r="J13" s="34"/>
      <c r="K13" s="35"/>
    </row>
    <row r="14" spans="1:11">
      <c r="A14" s="29">
        <v>5</v>
      </c>
      <c r="B14" s="17" t="s">
        <v>14</v>
      </c>
      <c r="C14" s="10"/>
      <c r="D14" s="11"/>
      <c r="E14" s="12"/>
      <c r="F14" s="12"/>
      <c r="G14" s="14"/>
      <c r="H14" s="14"/>
      <c r="I14" s="15"/>
      <c r="J14" s="37"/>
      <c r="K14" s="38"/>
    </row>
    <row r="15" spans="1:11">
      <c r="A15" s="29"/>
      <c r="B15" s="17" t="s">
        <v>15</v>
      </c>
      <c r="C15" s="10"/>
      <c r="D15" s="11"/>
      <c r="E15" s="12"/>
      <c r="F15" s="12"/>
      <c r="G15" s="14">
        <v>1</v>
      </c>
      <c r="H15" s="14" t="s">
        <v>16</v>
      </c>
      <c r="I15" s="15"/>
      <c r="J15" s="34"/>
      <c r="K15" s="35">
        <f>10000+3200</f>
        <v>13200</v>
      </c>
    </row>
    <row r="16" spans="1:11">
      <c r="A16" s="29"/>
      <c r="B16" s="17" t="s">
        <v>17</v>
      </c>
      <c r="C16" s="10"/>
      <c r="D16" s="11"/>
      <c r="E16" s="12"/>
      <c r="F16" s="12"/>
      <c r="G16" s="14">
        <v>2</v>
      </c>
      <c r="H16" s="14" t="s">
        <v>16</v>
      </c>
      <c r="I16" s="15"/>
      <c r="J16" s="37">
        <f>(2000*2+2000*6)*2</f>
        <v>32000</v>
      </c>
      <c r="K16" s="38"/>
    </row>
    <row r="17" spans="1:11">
      <c r="A17" s="29"/>
      <c r="B17" s="17" t="s">
        <v>20</v>
      </c>
      <c r="C17" s="10"/>
      <c r="D17" s="11"/>
      <c r="E17" s="12"/>
      <c r="F17" s="12"/>
      <c r="G17" s="14">
        <v>13</v>
      </c>
      <c r="H17" s="14" t="s">
        <v>18</v>
      </c>
      <c r="I17" s="15"/>
      <c r="J17" s="34"/>
      <c r="K17" s="35">
        <f>7500*13+20000</f>
        <v>117500</v>
      </c>
    </row>
    <row r="18" spans="1:11">
      <c r="A18" s="29"/>
      <c r="B18" s="17" t="s">
        <v>19</v>
      </c>
      <c r="C18" s="10"/>
      <c r="D18" s="11"/>
      <c r="E18" s="12"/>
      <c r="F18" s="12"/>
      <c r="G18" s="14">
        <v>1</v>
      </c>
      <c r="H18" s="14" t="s">
        <v>18</v>
      </c>
      <c r="I18" s="15"/>
      <c r="J18" s="37">
        <v>10000</v>
      </c>
      <c r="K18" s="38"/>
    </row>
    <row r="19" spans="1:11">
      <c r="A19" s="29"/>
      <c r="B19" s="17"/>
      <c r="C19" s="10"/>
      <c r="D19" s="11"/>
      <c r="E19" s="12"/>
      <c r="F19" s="12"/>
      <c r="G19" s="14"/>
      <c r="H19" s="14"/>
      <c r="I19" s="15"/>
      <c r="J19" s="41"/>
      <c r="K19" s="42"/>
    </row>
    <row r="20" spans="1:11">
      <c r="A20" s="29">
        <v>6</v>
      </c>
      <c r="B20" s="17" t="s">
        <v>21</v>
      </c>
      <c r="C20" s="10"/>
      <c r="D20" s="11"/>
      <c r="E20" s="12"/>
      <c r="F20" s="12"/>
      <c r="G20" s="14"/>
      <c r="H20" s="14"/>
      <c r="I20" s="15"/>
      <c r="J20" s="41"/>
      <c r="K20" s="42"/>
    </row>
    <row r="21" spans="1:11">
      <c r="A21" s="29"/>
      <c r="B21" s="17" t="s">
        <v>22</v>
      </c>
      <c r="C21" s="10"/>
      <c r="D21" s="11"/>
      <c r="E21" s="12"/>
      <c r="F21" s="12"/>
      <c r="G21" s="13">
        <v>16</v>
      </c>
      <c r="H21" s="14" t="s">
        <v>23</v>
      </c>
      <c r="I21" s="15">
        <v>30000</v>
      </c>
      <c r="J21" s="37">
        <f>I21*G21</f>
        <v>480000</v>
      </c>
      <c r="K21" s="38"/>
    </row>
    <row r="22" spans="1:11">
      <c r="A22" s="29"/>
      <c r="B22" s="17" t="s">
        <v>24</v>
      </c>
      <c r="C22" s="10"/>
      <c r="D22" s="11"/>
      <c r="E22" s="12"/>
      <c r="F22" s="12"/>
      <c r="G22" s="13">
        <v>1</v>
      </c>
      <c r="H22" s="14" t="s">
        <v>13</v>
      </c>
      <c r="I22" s="15"/>
      <c r="J22" s="37">
        <v>165000</v>
      </c>
      <c r="K22" s="38"/>
    </row>
    <row r="23" spans="1:11">
      <c r="A23" s="29"/>
      <c r="B23" s="17" t="s">
        <v>31</v>
      </c>
      <c r="C23" s="10"/>
      <c r="D23" s="11"/>
      <c r="E23" s="12"/>
      <c r="F23" s="12"/>
      <c r="G23" s="13">
        <v>1</v>
      </c>
      <c r="H23" s="14" t="s">
        <v>32</v>
      </c>
      <c r="I23" s="15"/>
      <c r="J23" s="43">
        <v>250000</v>
      </c>
      <c r="K23" s="44"/>
    </row>
    <row r="24" spans="1:11">
      <c r="A24" s="29"/>
      <c r="B24" s="17" t="s">
        <v>25</v>
      </c>
      <c r="C24" s="10"/>
      <c r="D24" s="11"/>
      <c r="E24" s="12"/>
      <c r="F24" s="12"/>
      <c r="G24" s="13">
        <v>1</v>
      </c>
      <c r="H24" s="14" t="s">
        <v>13</v>
      </c>
      <c r="I24" s="15"/>
      <c r="J24" s="37">
        <v>30000</v>
      </c>
      <c r="K24" s="38"/>
    </row>
    <row r="25" spans="1:11">
      <c r="A25" s="29"/>
      <c r="B25" s="17" t="s">
        <v>26</v>
      </c>
      <c r="C25" s="10"/>
      <c r="D25" s="11"/>
      <c r="E25" s="12"/>
      <c r="F25" s="12"/>
      <c r="G25" s="13">
        <v>1</v>
      </c>
      <c r="H25" s="14" t="s">
        <v>13</v>
      </c>
      <c r="I25" s="15"/>
      <c r="J25" s="37">
        <v>60000</v>
      </c>
      <c r="K25" s="38"/>
    </row>
    <row r="26" spans="1:11">
      <c r="A26" s="29"/>
      <c r="B26" s="17"/>
      <c r="C26" s="10"/>
      <c r="D26" s="11"/>
      <c r="E26" s="12"/>
      <c r="F26" s="12"/>
      <c r="G26" s="13"/>
      <c r="H26" s="14"/>
      <c r="I26" s="15"/>
      <c r="J26" s="41" t="s">
        <v>33</v>
      </c>
      <c r="K26" s="42"/>
    </row>
    <row r="27" spans="1:11">
      <c r="A27" s="29">
        <v>7</v>
      </c>
      <c r="B27" s="17" t="s">
        <v>27</v>
      </c>
      <c r="C27" s="10"/>
      <c r="D27" s="11"/>
      <c r="E27" s="12"/>
      <c r="F27" s="12"/>
      <c r="G27" s="13">
        <v>1</v>
      </c>
      <c r="H27" s="14" t="s">
        <v>13</v>
      </c>
      <c r="I27" s="15"/>
      <c r="J27" s="37">
        <v>100000</v>
      </c>
      <c r="K27" s="38"/>
    </row>
    <row r="28" spans="1:11">
      <c r="A28" s="29"/>
      <c r="B28" s="17"/>
      <c r="C28" s="10"/>
      <c r="D28" s="11"/>
      <c r="E28" s="12"/>
      <c r="F28" s="12"/>
      <c r="G28" s="13"/>
      <c r="H28" s="14"/>
      <c r="I28" s="15"/>
      <c r="J28" s="37"/>
      <c r="K28" s="38"/>
    </row>
    <row r="29" spans="1:11">
      <c r="A29" s="29">
        <v>8</v>
      </c>
      <c r="B29" s="17" t="s">
        <v>28</v>
      </c>
      <c r="C29" s="10"/>
      <c r="D29" s="18"/>
      <c r="E29" s="12"/>
      <c r="F29" s="12"/>
      <c r="G29" s="13">
        <v>1</v>
      </c>
      <c r="H29" s="14" t="s">
        <v>13</v>
      </c>
      <c r="I29" s="15"/>
      <c r="J29" s="37">
        <f>(J3+K4+J6+K8+K11+K15+J16+K17+J18+J21+J22+J23+J24+J25+J27)*0.1</f>
        <v>584930</v>
      </c>
      <c r="K29" s="38"/>
    </row>
    <row r="30" spans="1:11">
      <c r="A30" s="29"/>
      <c r="B30" s="17"/>
      <c r="C30" s="10"/>
      <c r="D30" s="11"/>
      <c r="E30" s="16"/>
      <c r="F30" s="16"/>
      <c r="G30" s="13"/>
      <c r="H30" s="14"/>
      <c r="I30" s="15"/>
      <c r="J30" s="41"/>
      <c r="K30" s="42"/>
    </row>
    <row r="31" spans="1:11">
      <c r="A31" s="29"/>
      <c r="B31" s="17"/>
      <c r="C31" s="10"/>
      <c r="D31" s="19"/>
      <c r="E31" s="16"/>
      <c r="F31" s="16"/>
      <c r="G31" s="13"/>
      <c r="H31" s="14"/>
      <c r="I31" s="15"/>
      <c r="J31" s="37"/>
      <c r="K31" s="38"/>
    </row>
    <row r="32" spans="1:11">
      <c r="A32" s="30"/>
      <c r="B32" s="32"/>
      <c r="C32" s="20"/>
      <c r="D32" s="21"/>
      <c r="E32" s="16"/>
      <c r="F32" s="16"/>
      <c r="G32" s="22"/>
      <c r="H32" s="22"/>
      <c r="I32" s="23"/>
      <c r="J32" s="37"/>
      <c r="K32" s="38"/>
    </row>
    <row r="33" spans="1:12">
      <c r="A33" s="30"/>
      <c r="B33" s="32"/>
      <c r="C33" s="20"/>
      <c r="D33" s="21"/>
      <c r="E33" s="16"/>
      <c r="F33" s="16"/>
      <c r="G33" s="22"/>
      <c r="H33" s="22"/>
      <c r="I33" s="23"/>
      <c r="J33" s="37"/>
      <c r="K33" s="38"/>
    </row>
    <row r="34" spans="1:12" ht="19" thickBot="1">
      <c r="A34" s="31"/>
      <c r="B34" s="33"/>
      <c r="C34" s="24"/>
      <c r="D34" s="25"/>
      <c r="E34" s="26"/>
      <c r="F34" s="26"/>
      <c r="G34" s="27"/>
      <c r="H34" s="27"/>
      <c r="I34" s="28"/>
      <c r="J34" s="39"/>
      <c r="K34" s="39"/>
    </row>
    <row r="35" spans="1:12" ht="20" thickTop="1" thickBot="1">
      <c r="A35" s="5"/>
      <c r="B35" s="6"/>
      <c r="C35" s="5"/>
      <c r="D35" s="6"/>
      <c r="E35" s="2"/>
      <c r="F35" s="2"/>
      <c r="G35" s="8" t="s">
        <v>8</v>
      </c>
      <c r="H35" s="7"/>
      <c r="I35" s="9"/>
      <c r="J35" s="40">
        <f>J29+J27+J25+J24+J23+J22+J21+J18+K17+J16+K15+K11+K8+J6+K4+J3</f>
        <v>6434230</v>
      </c>
      <c r="K35" s="40"/>
    </row>
    <row r="45" spans="1:12">
      <c r="L45" s="36"/>
    </row>
    <row r="53" spans="12:12">
      <c r="L53" s="36"/>
    </row>
  </sheetData>
  <mergeCells count="23">
    <mergeCell ref="J30:K30"/>
    <mergeCell ref="J26:K26"/>
    <mergeCell ref="J23:K23"/>
    <mergeCell ref="J20:K20"/>
    <mergeCell ref="J19:K19"/>
    <mergeCell ref="J29:K29"/>
    <mergeCell ref="J21:K21"/>
    <mergeCell ref="J22:K22"/>
    <mergeCell ref="J24:K24"/>
    <mergeCell ref="J25:K25"/>
    <mergeCell ref="J27:K27"/>
    <mergeCell ref="J31:K31"/>
    <mergeCell ref="J32:K32"/>
    <mergeCell ref="J33:K33"/>
    <mergeCell ref="J34:K34"/>
    <mergeCell ref="J35:K35"/>
    <mergeCell ref="J3:K3"/>
    <mergeCell ref="J28:K28"/>
    <mergeCell ref="J6:K6"/>
    <mergeCell ref="J9:K9"/>
    <mergeCell ref="J14:K14"/>
    <mergeCell ref="J16:K16"/>
    <mergeCell ref="J18:K18"/>
  </mergeCells>
  <phoneticPr fontId="7"/>
  <pageMargins left="0.7" right="0.7" top="0.75" bottom="0.75" header="0.3" footer="0.3"/>
  <pageSetup paperSize="9" scale="71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表紙</vt:lpstr>
    </vt:vector>
  </TitlesOfParts>
  <Company>日産チーム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</dc:creator>
  <cp:lastModifiedBy>河本 良太</cp:lastModifiedBy>
  <cp:lastPrinted>2025-08-04T02:52:55Z</cp:lastPrinted>
  <dcterms:created xsi:type="dcterms:W3CDTF">1999-07-20T03:08:50Z</dcterms:created>
  <dcterms:modified xsi:type="dcterms:W3CDTF">2026-01-16T05:40:44Z</dcterms:modified>
</cp:coreProperties>
</file>